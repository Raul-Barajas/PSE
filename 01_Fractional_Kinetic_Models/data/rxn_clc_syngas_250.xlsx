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tcelaya-my.sharepoint.com/personal/d2303010_celaya_tecnm_mx/Documents/PROGRAMAS/VS/Julia/04_Fraccional_Calculus/04_CLC_Syngas/04_Modelo_Semi_Batch/01_Syngas_250/"/>
    </mc:Choice>
  </mc:AlternateContent>
  <xr:revisionPtr revIDLastSave="153" documentId="11_3DF481DD3AA93F7424DB73CB9F611DFDC9C0AD6C" xr6:coauthVersionLast="47" xr6:coauthVersionMax="47" xr10:uidLastSave="{C9903EC5-47A1-42CD-B161-A73E05F9C8A0}"/>
  <bookViews>
    <workbookView xWindow="-105" yWindow="0" windowWidth="26010" windowHeight="20985" xr2:uid="{00000000-000D-0000-FFFF-FFFF00000000}"/>
  </bookViews>
  <sheets>
    <sheet name="1" sheetId="1" r:id="rId1"/>
    <sheet name="2" sheetId="2" r:id="rId2"/>
    <sheet name="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D2" i="3"/>
  <c r="E2" i="3"/>
  <c r="F2" i="3"/>
  <c r="B2" i="2"/>
  <c r="C2" i="2"/>
  <c r="D2" i="2"/>
  <c r="E2" i="2"/>
  <c r="F2" i="2"/>
  <c r="B2" i="1"/>
  <c r="C2" i="1"/>
  <c r="D2" i="1"/>
  <c r="E2" i="1"/>
  <c r="F2" i="1"/>
  <c r="G8" i="3" l="1"/>
  <c r="G7" i="3"/>
  <c r="G6" i="3"/>
  <c r="G5" i="3"/>
  <c r="G4" i="3"/>
  <c r="G3" i="3"/>
  <c r="G2" i="3"/>
  <c r="G2" i="2"/>
  <c r="G8" i="2"/>
  <c r="G7" i="2"/>
  <c r="G6" i="2"/>
  <c r="G5" i="2"/>
  <c r="G4" i="2"/>
  <c r="G3" i="2"/>
  <c r="G3" i="1"/>
  <c r="G4" i="1"/>
  <c r="G5" i="1"/>
  <c r="G6" i="1"/>
  <c r="G7" i="1"/>
  <c r="G8" i="1"/>
  <c r="G2" i="1"/>
  <c r="F8" i="3"/>
  <c r="B8" i="3"/>
  <c r="E7" i="3"/>
  <c r="D7" i="3"/>
  <c r="C7" i="3"/>
  <c r="F6" i="3"/>
  <c r="C6" i="3"/>
  <c r="P4" i="3"/>
  <c r="P3" i="3"/>
  <c r="P2" i="3"/>
  <c r="D8" i="3" s="1"/>
  <c r="F8" i="2"/>
  <c r="C8" i="2"/>
  <c r="C7" i="2"/>
  <c r="B7" i="2"/>
  <c r="F6" i="2"/>
  <c r="P4" i="2"/>
  <c r="P3" i="2"/>
  <c r="P2" i="2"/>
  <c r="F4" i="2" s="1"/>
  <c r="P4" i="1"/>
  <c r="P3" i="1"/>
  <c r="P2" i="1"/>
  <c r="F6" i="1" s="1"/>
  <c r="C4" i="3" l="1"/>
  <c r="E8" i="3"/>
  <c r="C5" i="3"/>
  <c r="D4" i="3"/>
  <c r="B5" i="3"/>
  <c r="B6" i="3"/>
  <c r="D4" i="2"/>
  <c r="D3" i="3"/>
  <c r="C7" i="1"/>
  <c r="E3" i="3"/>
  <c r="D7" i="1"/>
  <c r="D5" i="2"/>
  <c r="F3" i="3"/>
  <c r="D4" i="1"/>
  <c r="F7" i="2"/>
  <c r="B8" i="2"/>
  <c r="B3" i="2"/>
  <c r="E5" i="1"/>
  <c r="B4" i="2"/>
  <c r="C6" i="1"/>
  <c r="B7" i="1"/>
  <c r="B5" i="2"/>
  <c r="C5" i="2"/>
  <c r="E7" i="1"/>
  <c r="E5" i="2"/>
  <c r="E3" i="2"/>
  <c r="F5" i="1"/>
  <c r="B6" i="1"/>
  <c r="F7" i="1"/>
  <c r="F5" i="2"/>
  <c r="B4" i="3"/>
  <c r="B6" i="2"/>
  <c r="B3" i="1"/>
  <c r="C8" i="1"/>
  <c r="D8" i="1"/>
  <c r="D6" i="2"/>
  <c r="E4" i="3"/>
  <c r="F4" i="1"/>
  <c r="C5" i="1"/>
  <c r="C4" i="2"/>
  <c r="D6" i="1"/>
  <c r="E4" i="2"/>
  <c r="B8" i="1"/>
  <c r="C6" i="2"/>
  <c r="C3" i="1"/>
  <c r="D3" i="1"/>
  <c r="E8" i="1"/>
  <c r="E6" i="2"/>
  <c r="F4" i="3"/>
  <c r="D5" i="3"/>
  <c r="B4" i="1"/>
  <c r="D7" i="2"/>
  <c r="C4" i="1"/>
  <c r="E7" i="2"/>
  <c r="E5" i="3"/>
  <c r="F5" i="3"/>
  <c r="D6" i="3"/>
  <c r="C3" i="2"/>
  <c r="D8" i="2"/>
  <c r="B5" i="1"/>
  <c r="D3" i="2"/>
  <c r="E8" i="2"/>
  <c r="E6" i="3"/>
  <c r="D5" i="1"/>
  <c r="F3" i="2"/>
  <c r="B7" i="3"/>
  <c r="F7" i="3"/>
  <c r="E4" i="1"/>
  <c r="E6" i="1"/>
  <c r="B3" i="3"/>
  <c r="C8" i="3"/>
  <c r="E3" i="1"/>
  <c r="F8" i="1"/>
  <c r="F3" i="1"/>
  <c r="C3" i="3"/>
</calcChain>
</file>

<file path=xl/sharedStrings.xml><?xml version="1.0" encoding="utf-8"?>
<sst xmlns="http://schemas.openxmlformats.org/spreadsheetml/2006/main" count="48" uniqueCount="15">
  <si>
    <t>t [s]</t>
  </si>
  <si>
    <t>CH4 [mol/m3]</t>
  </si>
  <si>
    <t>CO2  [mol/m3]</t>
  </si>
  <si>
    <t>H2  [mol/m3]</t>
  </si>
  <si>
    <t>CO  [mol/m3]</t>
  </si>
  <si>
    <t>H2O  [mol/m3]</t>
  </si>
  <si>
    <t>OC [-]</t>
  </si>
  <si>
    <t>P_CH4 [psi]</t>
  </si>
  <si>
    <t>P_CO2 [psi]</t>
  </si>
  <si>
    <t>P_H2 [psi]</t>
  </si>
  <si>
    <t>P_CO[psi]</t>
  </si>
  <si>
    <t>P_H2O [psi]</t>
  </si>
  <si>
    <t>T [K]</t>
  </si>
  <si>
    <t>V [m3]</t>
  </si>
  <si>
    <t>R [psi m3 / mol 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</si>
</sst>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="220" zoomScaleNormal="220" workbookViewId="0">
      <selection activeCell="F13" sqref="F13"/>
    </sheetView>
  </sheetViews>
  <sheetFormatPr baseColWidth="10" defaultColWidth="9.140625" defaultRowHeight="15" x14ac:dyDescent="0.25"/>
  <cols>
    <col min="1" max="1" width="4" style="1" bestFit="1" customWidth="1"/>
    <col min="2" max="2" width="12.85546875" style="1" bestFit="1" customWidth="1"/>
    <col min="3" max="3" width="13.42578125" style="1" bestFit="1" customWidth="1"/>
    <col min="4" max="4" width="12.28515625" style="1" bestFit="1" customWidth="1"/>
    <col min="5" max="5" width="12.42578125" style="1" bestFit="1" customWidth="1"/>
    <col min="6" max="6" width="13.7109375" style="1" bestFit="1" customWidth="1"/>
    <col min="7" max="7" width="6.5703125" style="1" bestFit="1" customWidth="1"/>
    <col min="8" max="8" width="10.5703125" style="1" bestFit="1" customWidth="1"/>
    <col min="9" max="9" width="10.7109375" style="1" bestFit="1"/>
    <col min="10" max="10" width="9.42578125" style="1" bestFit="1"/>
    <col min="11" max="11" width="9.140625" style="1" bestFit="1"/>
    <col min="12" max="12" width="10.85546875" style="1" bestFit="1"/>
    <col min="13" max="13" width="6.5703125" style="1" bestFit="1"/>
    <col min="14" max="14" width="9.140625" style="1"/>
    <col min="15" max="15" width="15.85546875" style="2" bestFit="1"/>
    <col min="16" max="16" width="8.5703125" style="1" bestFit="1"/>
    <col min="17" max="16384" width="9.140625" style="1"/>
  </cols>
  <sheetData>
    <row r="1" spans="1:16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6</v>
      </c>
    </row>
    <row r="2" spans="1:16" x14ac:dyDescent="0.25">
      <c r="A2" s="1">
        <v>0</v>
      </c>
      <c r="B2" s="5">
        <f t="shared" ref="B2" si="0">H2/($P$2*$P$4)</f>
        <v>0.39350033331704071</v>
      </c>
      <c r="C2" s="5">
        <f t="shared" ref="C2" si="1">I2/($P$2*$P$4)</f>
        <v>0.78005121104184294</v>
      </c>
      <c r="D2" s="5">
        <f t="shared" ref="D2" si="2">J2/($P$2*$P$4)</f>
        <v>1.9150282410264172</v>
      </c>
      <c r="E2" s="5">
        <f t="shared" ref="E2" si="3">K2/($P$2*$P$4)</f>
        <v>0.76897236879334674</v>
      </c>
      <c r="F2" s="5">
        <f t="shared" ref="F2" si="4">L2/($P$2*$P$4)</f>
        <v>0</v>
      </c>
      <c r="G2" s="6">
        <f>M2</f>
        <v>0</v>
      </c>
      <c r="H2" s="1">
        <v>0.39069999999999999</v>
      </c>
      <c r="I2" s="1">
        <v>0.77449999999999997</v>
      </c>
      <c r="J2" s="1">
        <v>1.9014</v>
      </c>
      <c r="K2" s="1">
        <v>0.76349999999999996</v>
      </c>
      <c r="L2" s="1">
        <v>0</v>
      </c>
      <c r="M2" s="1">
        <v>0</v>
      </c>
      <c r="O2" s="2" t="s">
        <v>12</v>
      </c>
      <c r="P2" s="1">
        <f>550+273.15</f>
        <v>823.15</v>
      </c>
    </row>
    <row r="3" spans="1:16" x14ac:dyDescent="0.25">
      <c r="A3" s="1">
        <v>2</v>
      </c>
      <c r="B3" s="5">
        <f t="shared" ref="B3:B8" si="5">H3/($P$2*$P$4)</f>
        <v>0.32551652861035979</v>
      </c>
      <c r="C3" s="5">
        <f t="shared" ref="C3:C8" si="6">I3/($P$2*$P$4)</f>
        <v>0.83433753805947419</v>
      </c>
      <c r="D3" s="5">
        <f t="shared" ref="D3:D8" si="7">J3/($P$2*$P$4)</f>
        <v>0.96819009577085047</v>
      </c>
      <c r="E3" s="5">
        <f t="shared" ref="E3:E8" si="8">K3/($P$2*$P$4)</f>
        <v>0.58063205056891221</v>
      </c>
      <c r="F3" s="5">
        <f t="shared" ref="F3:F8" si="9">L3/($P$2*$P$4)</f>
        <v>0.6758093771582655</v>
      </c>
      <c r="G3" s="6">
        <f t="shared" ref="G3:G8" si="10">M3</f>
        <v>7.8299999999999995E-2</v>
      </c>
      <c r="H3" s="1">
        <v>0.32319999999999999</v>
      </c>
      <c r="I3" s="1">
        <v>0.82840000000000003</v>
      </c>
      <c r="J3" s="1">
        <v>0.96130000000000004</v>
      </c>
      <c r="K3" s="1">
        <v>0.57650000000000001</v>
      </c>
      <c r="L3" s="1">
        <v>0.67100000000000004</v>
      </c>
      <c r="M3" s="1">
        <v>7.8299999999999995E-2</v>
      </c>
      <c r="O3" s="2" t="s">
        <v>13</v>
      </c>
      <c r="P3" s="1">
        <f>0.0000507</f>
        <v>5.0699999999999999E-5</v>
      </c>
    </row>
    <row r="4" spans="1:16" x14ac:dyDescent="0.25">
      <c r="A4" s="1">
        <v>5</v>
      </c>
      <c r="B4" s="5">
        <f t="shared" si="5"/>
        <v>0.24292879548520663</v>
      </c>
      <c r="C4" s="5">
        <f t="shared" si="6"/>
        <v>1.0417133216017795</v>
      </c>
      <c r="D4" s="5">
        <f t="shared" si="7"/>
        <v>0.50801527546740555</v>
      </c>
      <c r="E4" s="5">
        <f t="shared" si="8"/>
        <v>0.46228987200543054</v>
      </c>
      <c r="F4" s="5">
        <f t="shared" si="9"/>
        <v>1.2123274922286202</v>
      </c>
      <c r="G4" s="6">
        <f t="shared" si="10"/>
        <v>0.18759999999999999</v>
      </c>
      <c r="H4" s="1">
        <v>0.2412</v>
      </c>
      <c r="I4" s="1">
        <v>1.0343</v>
      </c>
      <c r="J4" s="1">
        <v>0.50439999999999996</v>
      </c>
      <c r="K4" s="1">
        <v>0.45900000000000002</v>
      </c>
      <c r="L4" s="1">
        <v>1.2037</v>
      </c>
      <c r="M4" s="1">
        <v>0.18759999999999999</v>
      </c>
      <c r="O4" s="2" t="s">
        <v>14</v>
      </c>
      <c r="P4" s="1">
        <f>0.0012062</f>
        <v>1.2061999999999999E-3</v>
      </c>
    </row>
    <row r="5" spans="1:16" x14ac:dyDescent="0.25">
      <c r="A5" s="1">
        <v>10</v>
      </c>
      <c r="B5" s="5">
        <f t="shared" si="5"/>
        <v>0.20244066290433885</v>
      </c>
      <c r="C5" s="5">
        <f t="shared" si="6"/>
        <v>1.2342837432301854</v>
      </c>
      <c r="D5" s="5">
        <f t="shared" si="7"/>
        <v>0.28462552903863764</v>
      </c>
      <c r="E5" s="5">
        <f t="shared" si="8"/>
        <v>0.34868138058448811</v>
      </c>
      <c r="F5" s="5">
        <f t="shared" si="9"/>
        <v>1.4279620490834408</v>
      </c>
      <c r="G5" s="6">
        <f t="shared" si="10"/>
        <v>0.249</v>
      </c>
      <c r="H5" s="1">
        <v>0.20100000000000001</v>
      </c>
      <c r="I5" s="1">
        <v>1.2255</v>
      </c>
      <c r="J5" s="1">
        <v>0.28260000000000002</v>
      </c>
      <c r="K5" s="1">
        <v>0.34620000000000001</v>
      </c>
      <c r="L5" s="1">
        <v>1.4177999999999999</v>
      </c>
      <c r="M5" s="1">
        <v>0.249</v>
      </c>
    </row>
    <row r="6" spans="1:16" x14ac:dyDescent="0.25">
      <c r="A6" s="1">
        <v>20</v>
      </c>
      <c r="B6" s="5">
        <f t="shared" si="5"/>
        <v>0.12468733366943854</v>
      </c>
      <c r="C6" s="5">
        <f t="shared" si="6"/>
        <v>1.3355040746823548</v>
      </c>
      <c r="D6" s="5">
        <f t="shared" si="7"/>
        <v>0.21281448791883978</v>
      </c>
      <c r="E6" s="5">
        <f t="shared" si="8"/>
        <v>0.24443954670091064</v>
      </c>
      <c r="F6" s="5">
        <f t="shared" si="9"/>
        <v>1.6777395834131723</v>
      </c>
      <c r="G6" s="6">
        <f t="shared" si="10"/>
        <v>0.29499999999999998</v>
      </c>
      <c r="H6" s="1">
        <v>0.12379999999999999</v>
      </c>
      <c r="I6" s="1">
        <v>1.3260000000000001</v>
      </c>
      <c r="J6" s="1">
        <v>0.21129999999999999</v>
      </c>
      <c r="K6" s="1">
        <v>0.2427</v>
      </c>
      <c r="L6" s="1">
        <v>1.6657999999999999</v>
      </c>
      <c r="M6" s="1">
        <v>0.29499999999999998</v>
      </c>
    </row>
    <row r="7" spans="1:16" x14ac:dyDescent="0.25">
      <c r="A7" s="1">
        <v>30</v>
      </c>
      <c r="B7" s="5">
        <f t="shared" si="5"/>
        <v>8.0976265161735533E-2</v>
      </c>
      <c r="C7" s="5">
        <f t="shared" si="6"/>
        <v>1.5156863363419877</v>
      </c>
      <c r="D7" s="5">
        <f t="shared" si="7"/>
        <v>0.20213851266119803</v>
      </c>
      <c r="E7" s="5">
        <f t="shared" si="8"/>
        <v>0.16809625193400077</v>
      </c>
      <c r="F7" s="5">
        <f t="shared" si="9"/>
        <v>1.6698836770915113</v>
      </c>
      <c r="G7" s="6">
        <f t="shared" si="10"/>
        <v>0.33200000000000002</v>
      </c>
      <c r="H7" s="1">
        <v>8.0399999999999999E-2</v>
      </c>
      <c r="I7" s="1">
        <v>1.5048999999999999</v>
      </c>
      <c r="J7" s="1">
        <v>0.20069999999999999</v>
      </c>
      <c r="K7" s="1">
        <v>0.16689999999999999</v>
      </c>
      <c r="L7" s="1">
        <v>1.6579999999999999</v>
      </c>
      <c r="M7" s="1">
        <v>0.33200000000000002</v>
      </c>
    </row>
    <row r="8" spans="1:16" x14ac:dyDescent="0.25">
      <c r="A8" s="1">
        <v>40</v>
      </c>
      <c r="B8" s="5">
        <f t="shared" si="5"/>
        <v>5.1768408324791126E-2</v>
      </c>
      <c r="C8" s="5">
        <f t="shared" si="6"/>
        <v>1.5946482665494512</v>
      </c>
      <c r="D8" s="5">
        <f t="shared" si="7"/>
        <v>0.15429805749723738</v>
      </c>
      <c r="E8" s="5">
        <f t="shared" si="8"/>
        <v>0.10434255063129107</v>
      </c>
      <c r="F8" s="5">
        <f t="shared" si="9"/>
        <v>1.8723243399958502</v>
      </c>
      <c r="G8" s="6">
        <f t="shared" si="10"/>
        <v>0.36299999999999999</v>
      </c>
      <c r="H8" s="1">
        <v>5.1400000000000001E-2</v>
      </c>
      <c r="I8" s="1">
        <v>1.5832999999999999</v>
      </c>
      <c r="J8" s="1">
        <v>0.1532</v>
      </c>
      <c r="K8" s="1">
        <v>0.1036</v>
      </c>
      <c r="L8" s="1">
        <v>1.859</v>
      </c>
      <c r="M8" s="1">
        <v>0.36299999999999999</v>
      </c>
    </row>
    <row r="9" spans="1:16" x14ac:dyDescent="0.25">
      <c r="B9" s="7"/>
    </row>
    <row r="10" spans="1:16" x14ac:dyDescent="0.25">
      <c r="B10" s="5"/>
      <c r="H10" s="5"/>
    </row>
    <row r="11" spans="1:16" x14ac:dyDescent="0.25">
      <c r="B11" s="5"/>
      <c r="C11" s="5"/>
      <c r="D11" s="5"/>
      <c r="E11" s="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zoomScale="205" zoomScaleNormal="205" workbookViewId="0">
      <selection activeCell="H11" sqref="H11:I17"/>
    </sheetView>
  </sheetViews>
  <sheetFormatPr baseColWidth="10" defaultColWidth="9.140625" defaultRowHeight="15" x14ac:dyDescent="0.25"/>
  <cols>
    <col min="1" max="1" width="4" style="1" bestFit="1" customWidth="1"/>
    <col min="2" max="2" width="12.85546875" style="1" bestFit="1" customWidth="1"/>
    <col min="3" max="3" width="13.42578125" style="1" bestFit="1" customWidth="1"/>
    <col min="4" max="4" width="12.28515625" style="1" bestFit="1" customWidth="1"/>
    <col min="5" max="5" width="12.42578125" style="1" bestFit="1" customWidth="1"/>
    <col min="6" max="6" width="13.7109375" style="1" bestFit="1" customWidth="1"/>
    <col min="7" max="7" width="6.5703125" style="1" bestFit="1" customWidth="1"/>
    <col min="8" max="8" width="10.5703125" style="1" bestFit="1" customWidth="1"/>
    <col min="9" max="9" width="10.7109375" style="1" bestFit="1"/>
    <col min="10" max="10" width="9.42578125" style="1" bestFit="1"/>
    <col min="11" max="11" width="9.140625" style="1" bestFit="1"/>
    <col min="12" max="12" width="10.85546875" style="1" bestFit="1"/>
    <col min="13" max="13" width="6.5703125" style="1" bestFit="1"/>
    <col min="14" max="14" width="9.140625" style="1"/>
    <col min="15" max="15" width="15.85546875" style="2" bestFit="1"/>
    <col min="16" max="16" width="9.7109375" style="1" bestFit="1"/>
    <col min="17" max="16384" width="9.140625" style="1"/>
  </cols>
  <sheetData>
    <row r="1" spans="1:16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6</v>
      </c>
    </row>
    <row r="2" spans="1:16" x14ac:dyDescent="0.25">
      <c r="A2" s="1">
        <v>0</v>
      </c>
      <c r="B2" s="5">
        <f t="shared" ref="B2" si="0">H2/($P$2*$P$4)</f>
        <v>0.38929217500984836</v>
      </c>
      <c r="C2" s="5">
        <f t="shared" ref="C2" si="1">I2/($P$2*$P$4)</f>
        <v>0.77962879244045502</v>
      </c>
      <c r="D2" s="5">
        <f t="shared" ref="D2" si="2">J2/($P$2*$P$4)</f>
        <v>1.9257619252560354</v>
      </c>
      <c r="E2" s="5">
        <f t="shared" ref="E2" si="3">K2/($P$2*$P$4)</f>
        <v>0.76747528063526949</v>
      </c>
      <c r="F2" s="5">
        <f t="shared" ref="F2" si="4">L2/($P$2*$P$4)</f>
        <v>0</v>
      </c>
      <c r="G2" s="6">
        <f>M2</f>
        <v>0</v>
      </c>
      <c r="H2" s="1">
        <v>0.41</v>
      </c>
      <c r="I2" s="1">
        <v>0.82110000000000005</v>
      </c>
      <c r="J2" s="1">
        <v>2.0282</v>
      </c>
      <c r="K2" s="1">
        <v>0.80830000000000002</v>
      </c>
      <c r="L2" s="1">
        <v>0</v>
      </c>
      <c r="M2" s="1">
        <v>0</v>
      </c>
      <c r="O2" s="2" t="s">
        <v>12</v>
      </c>
      <c r="P2" s="1">
        <f>600+273.15</f>
        <v>873.15</v>
      </c>
    </row>
    <row r="3" spans="1:16" x14ac:dyDescent="0.25">
      <c r="A3" s="1">
        <v>2</v>
      </c>
      <c r="B3" s="5">
        <f t="shared" ref="B3:B8" si="5">H3/($P$2*$P$4)</f>
        <v>0.31902968488611971</v>
      </c>
      <c r="C3" s="5">
        <f t="shared" ref="C3:C8" si="6">I3/($P$2*$P$4)</f>
        <v>0.86109530125958911</v>
      </c>
      <c r="D3" s="5">
        <f t="shared" ref="D3:D8" si="7">J3/($P$2*$P$4)</f>
        <v>1.0154828809098362</v>
      </c>
      <c r="E3" s="5">
        <f t="shared" ref="E3:E8" si="8">K3/($P$2*$P$4)</f>
        <v>0.57672211488044378</v>
      </c>
      <c r="F3" s="5">
        <f t="shared" ref="F3:F8" si="9">L3/($P$2*$P$4)</f>
        <v>0.68420473490755307</v>
      </c>
      <c r="G3" s="6">
        <f t="shared" ref="G3:G8" si="10">M3</f>
        <v>9.6799999999999997E-2</v>
      </c>
      <c r="H3" s="1">
        <v>0.33600000000000002</v>
      </c>
      <c r="I3" s="1">
        <v>0.90690000000000004</v>
      </c>
      <c r="J3" s="1">
        <v>1.0694999999999999</v>
      </c>
      <c r="K3" s="1">
        <v>0.60740000000000005</v>
      </c>
      <c r="L3" s="1">
        <v>0.72060000000000002</v>
      </c>
      <c r="M3" s="1">
        <v>9.6799999999999997E-2</v>
      </c>
      <c r="O3" s="2" t="s">
        <v>13</v>
      </c>
      <c r="P3" s="1">
        <f>0.0000507</f>
        <v>5.0699999999999999E-5</v>
      </c>
    </row>
    <row r="4" spans="1:16" x14ac:dyDescent="0.25">
      <c r="A4" s="1">
        <v>5</v>
      </c>
      <c r="B4" s="5">
        <f t="shared" si="5"/>
        <v>0.24117124988414998</v>
      </c>
      <c r="C4" s="5">
        <f t="shared" si="6"/>
        <v>1.1310361923700767</v>
      </c>
      <c r="D4" s="5">
        <f t="shared" si="7"/>
        <v>0.47892432457309153</v>
      </c>
      <c r="E4" s="5">
        <f t="shared" si="8"/>
        <v>0.43581733738907419</v>
      </c>
      <c r="F4" s="5">
        <f t="shared" si="9"/>
        <v>1.2445006189888008</v>
      </c>
      <c r="G4" s="6">
        <f t="shared" si="10"/>
        <v>0.21149999999999999</v>
      </c>
      <c r="H4" s="1">
        <v>0.254</v>
      </c>
      <c r="I4" s="1">
        <v>1.1912</v>
      </c>
      <c r="J4" s="1">
        <v>0.50439999999999996</v>
      </c>
      <c r="K4" s="1">
        <v>0.45900000000000002</v>
      </c>
      <c r="L4" s="1">
        <v>1.3107</v>
      </c>
      <c r="M4" s="1">
        <v>0.21149999999999999</v>
      </c>
      <c r="O4" s="2" t="s">
        <v>14</v>
      </c>
      <c r="P4" s="1">
        <f>0.0012062</f>
        <v>1.2061999999999999E-3</v>
      </c>
    </row>
    <row r="5" spans="1:16" x14ac:dyDescent="0.25">
      <c r="A5" s="1">
        <v>10</v>
      </c>
      <c r="B5" s="5">
        <f t="shared" si="5"/>
        <v>0.19084811506580374</v>
      </c>
      <c r="C5" s="5">
        <f t="shared" si="6"/>
        <v>1.270611679507754</v>
      </c>
      <c r="D5" s="5">
        <f t="shared" si="7"/>
        <v>0.26832675282386137</v>
      </c>
      <c r="E5" s="5">
        <f t="shared" si="8"/>
        <v>0.33165794324619524</v>
      </c>
      <c r="F5" s="5">
        <f t="shared" si="9"/>
        <v>1.472568863957985</v>
      </c>
      <c r="G5" s="6">
        <f t="shared" si="10"/>
        <v>0.26440000000000002</v>
      </c>
      <c r="H5" s="1">
        <v>0.20100000000000001</v>
      </c>
      <c r="I5" s="1">
        <v>1.3382000000000001</v>
      </c>
      <c r="J5" s="1">
        <v>0.28260000000000002</v>
      </c>
      <c r="K5" s="1">
        <v>0.3493</v>
      </c>
      <c r="L5" s="1">
        <v>1.5508999999999999</v>
      </c>
      <c r="M5" s="1">
        <v>0.26440000000000002</v>
      </c>
    </row>
    <row r="6" spans="1:16" x14ac:dyDescent="0.25">
      <c r="A6" s="1">
        <v>20</v>
      </c>
      <c r="B6" s="5">
        <f t="shared" si="5"/>
        <v>0.11754724699077861</v>
      </c>
      <c r="C6" s="5">
        <f t="shared" si="6"/>
        <v>1.4521547620977127</v>
      </c>
      <c r="D6" s="5">
        <f t="shared" si="7"/>
        <v>0.22313088079832774</v>
      </c>
      <c r="E6" s="5">
        <f t="shared" si="8"/>
        <v>0.23329045707297502</v>
      </c>
      <c r="F6" s="5">
        <f t="shared" si="9"/>
        <v>1.6560109327675039</v>
      </c>
      <c r="G6" s="6">
        <f t="shared" si="10"/>
        <v>0.32040000000000002</v>
      </c>
      <c r="H6" s="1">
        <v>0.12379999999999999</v>
      </c>
      <c r="I6" s="1">
        <v>1.5294000000000001</v>
      </c>
      <c r="J6" s="1">
        <v>0.23499999999999999</v>
      </c>
      <c r="K6" s="1">
        <v>0.2457</v>
      </c>
      <c r="L6" s="1">
        <v>1.7441</v>
      </c>
      <c r="M6" s="1">
        <v>0.32040000000000002</v>
      </c>
    </row>
    <row r="7" spans="1:16" x14ac:dyDescent="0.25">
      <c r="A7" s="1">
        <v>30</v>
      </c>
      <c r="B7" s="5">
        <f t="shared" si="5"/>
        <v>7.6339246026321486E-2</v>
      </c>
      <c r="C7" s="5">
        <f t="shared" si="6"/>
        <v>1.6080615307236079</v>
      </c>
      <c r="D7" s="5">
        <f t="shared" si="7"/>
        <v>0.23566418984742529</v>
      </c>
      <c r="E7" s="5">
        <f t="shared" si="8"/>
        <v>0.16141382866262008</v>
      </c>
      <c r="F7" s="5">
        <f t="shared" si="9"/>
        <v>1.8320469553207377</v>
      </c>
      <c r="G7" s="6">
        <f t="shared" si="10"/>
        <v>0.3589</v>
      </c>
      <c r="H7" s="1">
        <v>8.0399999999999999E-2</v>
      </c>
      <c r="I7" s="1">
        <v>1.6936</v>
      </c>
      <c r="J7" s="1">
        <v>0.2482</v>
      </c>
      <c r="K7" s="1">
        <v>0.17</v>
      </c>
      <c r="L7" s="1">
        <v>1.9295</v>
      </c>
      <c r="M7" s="1">
        <v>0.3589</v>
      </c>
    </row>
    <row r="8" spans="1:16" x14ac:dyDescent="0.25">
      <c r="A8" s="1">
        <v>40</v>
      </c>
      <c r="B8" s="5">
        <f t="shared" si="5"/>
        <v>4.8803945842698072E-2</v>
      </c>
      <c r="C8" s="5">
        <f t="shared" si="6"/>
        <v>1.6406291443890659</v>
      </c>
      <c r="D8" s="5">
        <f t="shared" si="7"/>
        <v>0.24069650332925993</v>
      </c>
      <c r="E8" s="5">
        <f t="shared" si="8"/>
        <v>0.1173573483688226</v>
      </c>
      <c r="F8" s="5">
        <f t="shared" si="9"/>
        <v>1.7626390089958113</v>
      </c>
      <c r="G8" s="6">
        <f t="shared" si="10"/>
        <v>0.371</v>
      </c>
      <c r="H8" s="1">
        <v>5.1400000000000001E-2</v>
      </c>
      <c r="I8" s="1">
        <v>1.7279</v>
      </c>
      <c r="J8" s="1">
        <v>0.2535</v>
      </c>
      <c r="K8" s="1">
        <v>0.1236</v>
      </c>
      <c r="L8" s="1">
        <v>1.8564000000000001</v>
      </c>
      <c r="M8" s="1">
        <v>0.371</v>
      </c>
    </row>
    <row r="10" spans="1:16" x14ac:dyDescent="0.25">
      <c r="B10" s="5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zoomScale="190" zoomScaleNormal="190" workbookViewId="0">
      <selection activeCell="B10" sqref="B10"/>
    </sheetView>
  </sheetViews>
  <sheetFormatPr baseColWidth="10" defaultColWidth="9.140625" defaultRowHeight="15" x14ac:dyDescent="0.25"/>
  <cols>
    <col min="1" max="1" width="4" style="1" bestFit="1" customWidth="1"/>
    <col min="2" max="2" width="12.85546875" style="1" bestFit="1" customWidth="1"/>
    <col min="3" max="3" width="13.42578125" style="1" bestFit="1" customWidth="1"/>
    <col min="4" max="4" width="12.28515625" style="1" bestFit="1" customWidth="1"/>
    <col min="5" max="5" width="12.42578125" style="1" bestFit="1" customWidth="1"/>
    <col min="6" max="6" width="13.7109375" style="1" bestFit="1" customWidth="1"/>
    <col min="7" max="7" width="7.5703125" style="1" bestFit="1" customWidth="1"/>
    <col min="8" max="8" width="10.5703125" style="1" bestFit="1" customWidth="1"/>
    <col min="9" max="9" width="10.7109375" style="1" bestFit="1"/>
    <col min="10" max="10" width="9.42578125" style="1" bestFit="1"/>
    <col min="11" max="11" width="9.140625" style="1" bestFit="1"/>
    <col min="12" max="12" width="10.85546875" style="1" bestFit="1"/>
    <col min="13" max="13" width="7.5703125" style="1" bestFit="1"/>
    <col min="14" max="14" width="9.140625" style="1"/>
    <col min="15" max="15" width="15.85546875" style="2" bestFit="1"/>
    <col min="16" max="16" width="9.7109375" style="1" bestFit="1"/>
    <col min="17" max="16384" width="9.140625" style="1"/>
  </cols>
  <sheetData>
    <row r="1" spans="1:16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6</v>
      </c>
    </row>
    <row r="2" spans="1:16" x14ac:dyDescent="0.25">
      <c r="A2" s="1">
        <v>0</v>
      </c>
      <c r="B2" s="5">
        <f t="shared" ref="B2" si="0">H2/($P$2*$P$4)</f>
        <v>0.38410295834446079</v>
      </c>
      <c r="C2" s="5">
        <f t="shared" ref="C2" si="1">I2/($P$2*$P$4)</f>
        <v>0.77700696647095491</v>
      </c>
      <c r="D2" s="5">
        <f t="shared" ref="D2" si="2">J2/($P$2*$P$4)</f>
        <v>1.9162938800921447</v>
      </c>
      <c r="E2" s="5">
        <f t="shared" ref="E2" si="3">K2/($P$2*$P$4)</f>
        <v>0.76479326473262277</v>
      </c>
      <c r="F2" s="5">
        <f t="shared" ref="F2" si="4">L2/($P$2*$P$4)</f>
        <v>0</v>
      </c>
      <c r="G2" s="5">
        <f>M2</f>
        <v>0</v>
      </c>
      <c r="H2" s="1">
        <v>0.42770000000000002</v>
      </c>
      <c r="I2" s="1">
        <v>0.86519999999999997</v>
      </c>
      <c r="J2" s="1">
        <v>2.1337999999999999</v>
      </c>
      <c r="K2" s="1">
        <v>0.85160000000000002</v>
      </c>
      <c r="L2" s="1">
        <v>0</v>
      </c>
      <c r="M2" s="1">
        <v>0</v>
      </c>
      <c r="O2" s="2" t="s">
        <v>12</v>
      </c>
      <c r="P2" s="1">
        <f>650+273.15</f>
        <v>923.15</v>
      </c>
    </row>
    <row r="3" spans="1:16" x14ac:dyDescent="0.25">
      <c r="A3" s="1">
        <v>2</v>
      </c>
      <c r="B3" s="5">
        <f t="shared" ref="B3:B8" si="5">H3/($P$2*$P$4)</f>
        <v>0.31908295791392777</v>
      </c>
      <c r="C3" s="5">
        <f t="shared" ref="C3:C8" si="6">I3/($P$2*$P$4)</f>
        <v>0.95751829363307006</v>
      </c>
      <c r="D3" s="5">
        <f t="shared" ref="D3:D8" si="7">J3/($P$2*$P$4)</f>
        <v>0.98661564189203788</v>
      </c>
      <c r="E3" s="5">
        <f t="shared" ref="E3:E8" si="8">K3/($P$2*$P$4)</f>
        <v>0.54826947876851373</v>
      </c>
      <c r="F3" s="5">
        <f t="shared" ref="F3:F8" si="9">L3/($P$2*$P$4)</f>
        <v>0.73156481147392494</v>
      </c>
      <c r="G3" s="5">
        <f t="shared" ref="G3:G8" si="10">M3</f>
        <v>0.1023</v>
      </c>
      <c r="H3" s="1">
        <v>0.3553</v>
      </c>
      <c r="I3" s="1">
        <v>1.0662</v>
      </c>
      <c r="J3" s="1">
        <v>1.0986</v>
      </c>
      <c r="K3" s="1">
        <v>0.61050000000000004</v>
      </c>
      <c r="L3" s="1">
        <v>0.81459999999999999</v>
      </c>
      <c r="M3" s="1">
        <v>0.1023</v>
      </c>
      <c r="O3" s="2" t="s">
        <v>13</v>
      </c>
      <c r="P3" s="1">
        <f>0.0000507</f>
        <v>5.0699999999999999E-5</v>
      </c>
    </row>
    <row r="4" spans="1:16" x14ac:dyDescent="0.25">
      <c r="A4" s="1">
        <v>5</v>
      </c>
      <c r="B4" s="5">
        <f t="shared" si="5"/>
        <v>0.23969389661476873</v>
      </c>
      <c r="C4" s="5">
        <f t="shared" si="6"/>
        <v>1.1380296207951852</v>
      </c>
      <c r="D4" s="5">
        <f t="shared" si="7"/>
        <v>0.57395417507118274</v>
      </c>
      <c r="E4" s="5">
        <f t="shared" si="8"/>
        <v>0.4635818262740487</v>
      </c>
      <c r="F4" s="5">
        <f t="shared" si="9"/>
        <v>1.2802833233945832</v>
      </c>
      <c r="G4" s="5">
        <f t="shared" si="10"/>
        <v>0.221</v>
      </c>
      <c r="H4" s="1">
        <v>0.26690000000000003</v>
      </c>
      <c r="I4" s="1">
        <v>1.2672000000000001</v>
      </c>
      <c r="J4" s="1">
        <v>0.6391</v>
      </c>
      <c r="K4" s="1">
        <v>0.51619999999999999</v>
      </c>
      <c r="L4" s="1">
        <v>1.4256</v>
      </c>
      <c r="M4" s="1">
        <v>0.221</v>
      </c>
      <c r="O4" s="2" t="s">
        <v>14</v>
      </c>
      <c r="P4" s="1">
        <f>0.0012062</f>
        <v>1.2061999999999999E-3</v>
      </c>
    </row>
    <row r="5" spans="1:16" x14ac:dyDescent="0.25">
      <c r="A5" s="1">
        <v>10</v>
      </c>
      <c r="B5" s="5">
        <f t="shared" si="5"/>
        <v>0.18051132716211507</v>
      </c>
      <c r="C5" s="5">
        <f t="shared" si="6"/>
        <v>1.3008490417628042</v>
      </c>
      <c r="D5" s="5">
        <f t="shared" si="7"/>
        <v>0.37476306877985383</v>
      </c>
      <c r="E5" s="5">
        <f t="shared" si="8"/>
        <v>0.33039859334797078</v>
      </c>
      <c r="F5" s="5">
        <f t="shared" si="9"/>
        <v>1.4842341810986446</v>
      </c>
      <c r="G5" s="5">
        <f t="shared" si="10"/>
        <v>0.27239999999999998</v>
      </c>
      <c r="H5" s="1">
        <v>0.20100000000000001</v>
      </c>
      <c r="I5" s="1">
        <v>1.4484999999999999</v>
      </c>
      <c r="J5" s="1">
        <v>0.4173</v>
      </c>
      <c r="K5" s="1">
        <v>0.3679</v>
      </c>
      <c r="L5" s="1">
        <v>1.6527000000000001</v>
      </c>
      <c r="M5" s="1">
        <v>0.27239999999999998</v>
      </c>
    </row>
    <row r="6" spans="1:16" x14ac:dyDescent="0.25">
      <c r="A6" s="1">
        <v>20</v>
      </c>
      <c r="B6" s="5">
        <f t="shared" si="5"/>
        <v>0.11118060847099424</v>
      </c>
      <c r="C6" s="5">
        <f t="shared" si="6"/>
        <v>1.4901614187069527</v>
      </c>
      <c r="D6" s="5">
        <f t="shared" si="7"/>
        <v>0.37943301356215725</v>
      </c>
      <c r="E6" s="5">
        <f t="shared" si="8"/>
        <v>0.22065489096383914</v>
      </c>
      <c r="F6" s="5">
        <f t="shared" si="9"/>
        <v>1.6272961433719029</v>
      </c>
      <c r="G6" s="5">
        <f t="shared" si="10"/>
        <v>0.32790000000000002</v>
      </c>
      <c r="H6" s="1">
        <v>0.12379999999999999</v>
      </c>
      <c r="I6" s="1">
        <v>1.6593</v>
      </c>
      <c r="J6" s="1">
        <v>0.42249999999999999</v>
      </c>
      <c r="K6" s="1">
        <v>0.2457</v>
      </c>
      <c r="L6" s="1">
        <v>1.8120000000000001</v>
      </c>
      <c r="M6" s="1">
        <v>0.32790000000000002</v>
      </c>
    </row>
    <row r="7" spans="1:16" x14ac:dyDescent="0.25">
      <c r="A7" s="1">
        <v>30</v>
      </c>
      <c r="B7" s="5">
        <f t="shared" si="5"/>
        <v>7.2204530864846017E-2</v>
      </c>
      <c r="C7" s="5">
        <f t="shared" si="6"/>
        <v>1.6002643476128002</v>
      </c>
      <c r="D7" s="5">
        <f t="shared" si="7"/>
        <v>0.30597118987130645</v>
      </c>
      <c r="E7" s="5">
        <f t="shared" si="8"/>
        <v>0.15267127172915204</v>
      </c>
      <c r="F7" s="5">
        <f t="shared" si="9"/>
        <v>1.857111310639491</v>
      </c>
      <c r="G7" s="5">
        <f t="shared" si="10"/>
        <v>0.39229999999999998</v>
      </c>
      <c r="H7" s="1">
        <v>8.0399999999999999E-2</v>
      </c>
      <c r="I7" s="1">
        <v>1.7819</v>
      </c>
      <c r="J7" s="1">
        <v>0.3407</v>
      </c>
      <c r="K7" s="1">
        <v>0.17</v>
      </c>
      <c r="L7" s="1">
        <v>2.0678999999999998</v>
      </c>
      <c r="M7" s="1">
        <v>0.39229999999999998</v>
      </c>
    </row>
    <row r="8" spans="1:16" x14ac:dyDescent="0.25">
      <c r="A8" s="1">
        <v>40</v>
      </c>
      <c r="B8" s="5">
        <f t="shared" si="5"/>
        <v>4.6160608040461265E-2</v>
      </c>
      <c r="C8" s="5">
        <f t="shared" si="6"/>
        <v>1.6244223311981776</v>
      </c>
      <c r="D8" s="5">
        <f t="shared" si="7"/>
        <v>0.36048381454165662</v>
      </c>
      <c r="E8" s="5">
        <f t="shared" si="8"/>
        <v>0.12357392347018424</v>
      </c>
      <c r="F8" s="5">
        <f t="shared" si="9"/>
        <v>1.7656881608628576</v>
      </c>
      <c r="G8" s="5">
        <f t="shared" si="10"/>
        <v>0.3735</v>
      </c>
      <c r="H8" s="1">
        <v>5.1400000000000001E-2</v>
      </c>
      <c r="I8" s="1">
        <v>1.8088</v>
      </c>
      <c r="J8" s="1">
        <v>0.40139999999999998</v>
      </c>
      <c r="K8" s="1">
        <v>0.1376</v>
      </c>
      <c r="L8" s="1">
        <v>1.9661</v>
      </c>
      <c r="M8" s="1">
        <v>0.3735</v>
      </c>
    </row>
    <row r="10" spans="1:16" x14ac:dyDescent="0.25">
      <c r="B10" s="5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Raúl Barajas Villarruel</dc:creator>
  <cp:lastModifiedBy>LUIS RAUL BARAJAS VILLARRUEL</cp:lastModifiedBy>
  <cp:revision>2</cp:revision>
  <dcterms:created xsi:type="dcterms:W3CDTF">2015-06-05T18:19:34Z</dcterms:created>
  <dcterms:modified xsi:type="dcterms:W3CDTF">2025-06-06T20:33:33Z</dcterms:modified>
</cp:coreProperties>
</file>