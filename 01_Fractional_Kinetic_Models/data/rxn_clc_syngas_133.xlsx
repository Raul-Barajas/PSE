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1" sheetId="1" state="visible" r:id="rId1"/>
    <sheet name="2" sheetId="2" state="visible" r:id="rId2"/>
    <sheet name="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<sst xmlns="http://schemas.openxmlformats.org/spreadsheetml/2006/main" count="15" uniqueCount="15">
  <si>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 xml:space="preserve">t [s]</t>
  </si>
  <si>
    <t xml:space="preserve">CH4 [mol/m3]</t>
  </si>
  <si>
    <t xml:space="preserve">CO2  [mol/m3]</t>
  </si>
  <si>
    <t xml:space="preserve">H2  [mol/m3]</t>
  </si>
  <si>
    <t xml:space="preserve">CO  [mol/m3]</t>
  </si>
  <si>
    <t xml:space="preserve">H2O  [mol/m3]</t>
  </si>
  <si>
    <t xml:space="preserve">OC [-]</t>
  </si>
  <si>
    <t xml:space="preserve">P_CH4 [psi]</t>
  </si>
  <si>
    <t xml:space="preserve">P_CO2 [psi]</t>
  </si>
  <si>
    <t xml:space="preserve">P_H2 [psi]</t>
  </si>
  <si>
    <t>P_CO[psi]</t>
  </si>
  <si>
    <t xml:space="preserve">P_H2O [psi]</t>
  </si>
  <si>
    <t xml:space="preserve">T [K]</t>
  </si>
  <si>
    <t xml:space="preserve">V [m3]</t>
  </si>
  <si>
    <t xml:space="preserve">R [psi m3 / mol k]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</si>
</sst>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1" numFmtId="0" xfId="0" applyBorder="1" applyAlignment="1">
      <alignment horizontal="center"/>
    </xf>
    <xf fontId="0" fillId="2" borderId="1" numFmtId="0" xfId="0" applyFill="1" applyBorder="1" applyAlignment="1">
      <alignment horizontal="center"/>
    </xf>
    <xf fontId="0" fillId="0" borderId="0" numFmtId="0" xfId="0" applyAlignment="1">
      <alignment horizontal="center"/>
    </xf>
    <xf fontId="0" fillId="0" borderId="0" numFmtId="164" xfId="0" applyNumberFormat="1" applyAlignment="1">
      <alignment horizontal="center"/>
    </xf>
    <xf fontId="0" fillId="0" borderId="0" numFmtId="2" xfId="0" applyNumberFormat="1" applyAlignment="1">
      <alignment horizontal="center"/>
    </xf>
    <xf fontId="0" fillId="0" borderId="0" numFmtId="0" xfId="0" applyAlignment="1">
      <alignment horizontal="center"/>
      <protection hidden="0" locked="1"/>
    </xf>
    <xf fontId="0" fillId="0" borderId="0" numFmtId="0" xfId="0" applyAlignment="1">
      <alignment horizontal="left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220" workbookViewId="0">
      <selection activeCell="E9" activeCellId="0" sqref="E9"/>
    </sheetView>
  </sheetViews>
  <sheetFormatPr baseColWidth="10" defaultColWidth="9.140625" defaultRowHeight="14.25"/>
  <cols>
    <col bestFit="1" customWidth="1" min="1" max="1" width="4.04296875"/>
    <col bestFit="1" customWidth="1" min="2" max="2" width="12.90234375"/>
    <col bestFit="1" customWidth="1" min="3" max="3" width="13.47265625"/>
    <col bestFit="1" customWidth="1" min="4" max="4" width="12.23046875"/>
    <col bestFit="1" customWidth="1" min="5" max="5" width="12.421875"/>
    <col bestFit="1" customWidth="1" min="6" max="6" width="13.6640625"/>
    <col bestFit="1" customWidth="1" min="7" max="7" width="6.5234375"/>
    <col bestFit="1" customWidth="1" min="8" max="8" width="10.61328125"/>
    <col bestFit="1" min="9" max="9" width="10.7109375"/>
    <col bestFit="1" min="10" max="10" width="9.47265625"/>
    <col bestFit="1" min="11" max="11" width="9.19140625"/>
    <col bestFit="1" min="12" max="12" width="10.90234375"/>
    <col bestFit="1" min="13" max="13" width="6.5234375"/>
    <col bestFit="1" min="15" max="15" width="15.8515625"/>
    <col bestFit="1" min="16" max="16" width="9.66406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6</v>
      </c>
    </row>
    <row r="2">
      <c r="A2" s="3">
        <v>0</v>
      </c>
      <c r="B2" s="4">
        <f>H2/($P$2*$P$4)</f>
        <v>0.8122805703101954</v>
      </c>
      <c r="C2" s="4">
        <f>I2/($P$2*$P$4)</f>
        <v>0.88117082574629879</v>
      </c>
      <c r="D2" s="4">
        <f>J2/($P$2*$P$4)</f>
        <v>3.2407627911805528</v>
      </c>
      <c r="E2" s="4">
        <f>K2/($P$2*$P$4)</f>
        <v>2.4389567626325723</v>
      </c>
      <c r="F2" s="5">
        <f>L2/($P$2*$P$4)</f>
        <v>0</v>
      </c>
      <c r="G2" s="6">
        <v>0</v>
      </c>
      <c r="H2" s="3">
        <v>0.80649999999999999</v>
      </c>
      <c r="I2" s="3">
        <v>0.87490000000000001</v>
      </c>
      <c r="J2" s="3">
        <v>3.2176999999999998</v>
      </c>
      <c r="K2" s="3">
        <v>2.4216000000000002</v>
      </c>
      <c r="L2" s="3">
        <v>0</v>
      </c>
      <c r="M2" s="3">
        <v>0</v>
      </c>
      <c r="O2" s="7" t="s">
        <v>12</v>
      </c>
      <c r="P2" s="3">
        <f>550+273.15</f>
        <v>823.14999999999998</v>
      </c>
    </row>
    <row r="3">
      <c r="A3" s="3">
        <v>2</v>
      </c>
      <c r="B3" s="4">
        <f>H3/($P$2*$P$4)</f>
        <v>0.74369246511723286</v>
      </c>
      <c r="C3" s="4">
        <f>I3/($P$2*$P$4)</f>
        <v>1.2378088294001615</v>
      </c>
      <c r="D3" s="4">
        <f>J3/($P$2*$P$4)</f>
        <v>1.5886052616866351</v>
      </c>
      <c r="E3" s="4">
        <f>K3/($P$2*$P$4)</f>
        <v>1.7599244495474713</v>
      </c>
      <c r="F3" s="4">
        <f>L3/($P$2*$P$4)</f>
        <v>2.2302716613699896</v>
      </c>
      <c r="G3" s="6">
        <v>0.17499999999999999</v>
      </c>
      <c r="H3" s="3">
        <v>0.73839999999999995</v>
      </c>
      <c r="I3" s="3">
        <v>1.2290000000000001</v>
      </c>
      <c r="J3" s="3">
        <v>1.5772999999999999</v>
      </c>
      <c r="K3" s="3">
        <v>1.7474000000000001</v>
      </c>
      <c r="L3" s="3">
        <v>2.2143999999999999</v>
      </c>
      <c r="M3" s="3">
        <v>0.17499999999999999</v>
      </c>
      <c r="O3" s="7" t="s">
        <v>13</v>
      </c>
      <c r="P3" s="3">
        <f>0.0000507</f>
        <v>5.0699999999999999e-05</v>
      </c>
    </row>
    <row r="4">
      <c r="A4" s="3">
        <v>5</v>
      </c>
      <c r="B4" s="4">
        <f>H4/($P$2*$P$4)</f>
        <v>0.65949326402866215</v>
      </c>
      <c r="C4" s="4">
        <f>I4/($P$2*$P$4)</f>
        <v>1.4652272457374735</v>
      </c>
      <c r="D4" s="4">
        <f>J4/($P$2*$P$4)</f>
        <v>1.152803894329882</v>
      </c>
      <c r="E4" s="4">
        <f>K4/($P$2*$P$4)</f>
        <v>1.5916267641180433</v>
      </c>
      <c r="F4" s="4">
        <f>L4/($P$2*$P$4)</f>
        <v>2.7603439045866738</v>
      </c>
      <c r="G4" s="6">
        <v>0.26140000000000002</v>
      </c>
      <c r="H4" s="3">
        <v>0.65480000000000005</v>
      </c>
      <c r="I4" s="3">
        <v>1.4548000000000001</v>
      </c>
      <c r="J4" s="3">
        <v>1.1446000000000001</v>
      </c>
      <c r="K4" s="3">
        <v>1.5803</v>
      </c>
      <c r="L4" s="3">
        <v>2.7406999999999999</v>
      </c>
      <c r="M4" s="3">
        <v>0.26140000000000002</v>
      </c>
      <c r="O4" s="7" t="s">
        <v>14</v>
      </c>
      <c r="P4" s="3">
        <f>0.0012062</f>
        <v>0.0012061999999999999</v>
      </c>
    </row>
    <row r="5">
      <c r="A5" s="3">
        <v>10</v>
      </c>
      <c r="B5" s="4">
        <f>H5/($P$2*$P$4)</f>
        <v>0.54568333911229239</v>
      </c>
      <c r="C5" s="4">
        <f>I5/($P$2*$P$4)</f>
        <v>2.0440463948475407</v>
      </c>
      <c r="D5" s="4">
        <f>J5/($P$2*$P$4)</f>
        <v>0.84702784827138788</v>
      </c>
      <c r="E5" s="4">
        <f>K5/($P$2*$P$4)</f>
        <v>1.3499065696053998</v>
      </c>
      <c r="F5" s="4">
        <f>L5/($P$2*$P$4)</f>
        <v>3.125240681553052</v>
      </c>
      <c r="G5" s="6">
        <v>0.35039999999999999</v>
      </c>
      <c r="H5" s="3">
        <v>0.54179999999999995</v>
      </c>
      <c r="I5" s="3">
        <v>2.0295000000000001</v>
      </c>
      <c r="J5" s="3">
        <v>0.84099999999999997</v>
      </c>
      <c r="K5" s="3">
        <v>1.3403</v>
      </c>
      <c r="L5" s="3">
        <v>3.1030000000000002</v>
      </c>
      <c r="M5" s="3">
        <v>0.35039999999999999</v>
      </c>
    </row>
    <row r="6">
      <c r="A6" s="3">
        <v>20</v>
      </c>
      <c r="B6" s="4">
        <f>H6/($P$2*$P$4)</f>
        <v>0.33991902353340481</v>
      </c>
      <c r="C6" s="4">
        <f>I6/($P$2*$P$4)</f>
        <v>2.4187126963421379</v>
      </c>
      <c r="D6" s="4">
        <f>J6/($P$2*$P$4)</f>
        <v>0.73795161049755764</v>
      </c>
      <c r="E6" s="4">
        <f>K6/($P$2*$P$4)</f>
        <v>0.9138030520055056</v>
      </c>
      <c r="F6" s="4">
        <f>L6/($P$2*$P$4)</f>
        <v>3.4906410422579981</v>
      </c>
      <c r="G6" s="6">
        <v>0.52380000000000004</v>
      </c>
      <c r="H6" s="3">
        <v>0.33750000000000002</v>
      </c>
      <c r="I6" s="3">
        <v>2.4015</v>
      </c>
      <c r="J6" s="3">
        <v>0.73270000000000002</v>
      </c>
      <c r="K6" s="3">
        <v>0.9073</v>
      </c>
      <c r="L6" s="3">
        <v>3.4658000000000002</v>
      </c>
      <c r="M6" s="3">
        <v>0.52380000000000004</v>
      </c>
    </row>
    <row r="7">
      <c r="A7" s="3">
        <v>30</v>
      </c>
      <c r="B7" s="4">
        <f>H7/($P$2*$P$4)</f>
        <v>0.21986466025879189</v>
      </c>
      <c r="C7" s="4">
        <f>I7/($P$2*$P$4)</f>
        <v>2.7986162687178426</v>
      </c>
      <c r="D7" s="4">
        <f>J7/($P$2*$P$4)</f>
        <v>0.9780603370467833</v>
      </c>
      <c r="E7" s="4">
        <f>K7/($P$2*$P$4)</f>
        <v>0.78196482924840138</v>
      </c>
      <c r="F7" s="4">
        <f>L7/($P$2*$P$4)</f>
        <v>3.527805522164317</v>
      </c>
      <c r="G7" s="6">
        <v>0.54449999999999998</v>
      </c>
      <c r="H7" s="3">
        <v>0.21829999999999999</v>
      </c>
      <c r="I7" s="3">
        <v>2.7787000000000002</v>
      </c>
      <c r="J7" s="3">
        <v>0.97109999999999996</v>
      </c>
      <c r="K7" s="3">
        <v>0.77639999999999998</v>
      </c>
      <c r="L7" s="3">
        <v>3.5026999999999999</v>
      </c>
      <c r="M7" s="3">
        <v>0.54449999999999998</v>
      </c>
    </row>
    <row r="8">
      <c r="A8" s="3">
        <v>40</v>
      </c>
      <c r="B8" s="4">
        <f>H8/($P$2*$P$4)</f>
        <v>0.15903174463977665</v>
      </c>
      <c r="C8" s="4">
        <f>I8/($P$2*$P$4)</f>
        <v>2.9149441123270523</v>
      </c>
      <c r="D8" s="4">
        <f>J8/($P$2*$P$4)</f>
        <v>1.0346631492618275</v>
      </c>
      <c r="E8" s="4">
        <f>K8/($P$2*$P$4)</f>
        <v>0.70370791627493312</v>
      </c>
      <c r="F8" s="4">
        <f>L8/($P$2*$P$4)</f>
        <v>3.3970751836320621</v>
      </c>
      <c r="G8" s="6">
        <v>0.62190000000000001</v>
      </c>
      <c r="H8" s="3">
        <v>0.15790000000000001</v>
      </c>
      <c r="I8" s="3">
        <v>2.8942000000000001</v>
      </c>
      <c r="J8" s="3">
        <v>1.0273000000000001</v>
      </c>
      <c r="K8" s="3">
        <v>0.69869999999999999</v>
      </c>
      <c r="L8" s="3">
        <v>3.3729</v>
      </c>
      <c r="M8" s="3">
        <v>0.62190000000000001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220" workbookViewId="0">
      <selection activeCell="G12" activeCellId="0" sqref="G12:G18"/>
    </sheetView>
  </sheetViews>
  <sheetFormatPr baseColWidth="10" defaultColWidth="9.140625" defaultRowHeight="14.25"/>
  <cols>
    <col bestFit="1" customWidth="1" min="1" max="1" width="4.04296875"/>
    <col bestFit="1" customWidth="1" min="2" max="2" width="12.90234375"/>
    <col bestFit="1" customWidth="1" min="3" max="3" width="13.47265625"/>
    <col bestFit="1" customWidth="1" min="4" max="4" width="12.23046875"/>
    <col bestFit="1" customWidth="1" min="5" max="5" width="12.421875"/>
    <col bestFit="1" customWidth="1" min="6" max="6" width="13.6640625"/>
    <col bestFit="1" customWidth="1" min="7" max="7" width="6.5234375"/>
    <col bestFit="1" customWidth="1" min="8" max="8" width="10.61328125"/>
    <col bestFit="1" min="9" max="9" width="10.7109375"/>
    <col bestFit="1" min="10" max="10" width="9.47265625"/>
    <col bestFit="1" min="11" max="11" width="9.19140625"/>
    <col bestFit="1" min="12" max="12" width="10.90234375"/>
    <col bestFit="1" min="13" max="13" width="6.5234375"/>
    <col bestFit="1" min="15" max="15" width="15.8515625"/>
    <col bestFit="1" min="16" max="16" width="9.66406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6</v>
      </c>
    </row>
    <row r="2">
      <c r="A2">
        <v>0</v>
      </c>
      <c r="B2" s="4">
        <f>H2/($P$2*$P$4)</f>
        <v>0.81865295925241777</v>
      </c>
      <c r="C2" s="4">
        <f>I2/($P$2*$P$4)</f>
        <v>0.89404271216895914</v>
      </c>
      <c r="D2" s="4">
        <f>J2/($P$2*$P$4)</f>
        <v>3.2475512833809379</v>
      </c>
      <c r="E2" s="4">
        <f>K2/($P$2*$P$4)</f>
        <v>2.4362094210738268</v>
      </c>
      <c r="F2" s="5">
        <f>L2/($P$2*$P$4)</f>
        <v>0</v>
      </c>
      <c r="G2" s="8">
        <v>0</v>
      </c>
      <c r="H2">
        <v>0.86219999999999997</v>
      </c>
      <c r="I2">
        <v>0.94159999999999999</v>
      </c>
      <c r="J2">
        <v>3.4203000000000001</v>
      </c>
      <c r="K2">
        <v>2.5657999999999999</v>
      </c>
      <c r="L2">
        <v>0</v>
      </c>
      <c r="M2">
        <v>0</v>
      </c>
      <c r="O2" s="7" t="s">
        <v>12</v>
      </c>
      <c r="P2" s="3">
        <f>600+273.15</f>
        <v>873.14999999999998</v>
      </c>
    </row>
    <row r="3">
      <c r="A3">
        <v>2</v>
      </c>
      <c r="B3" s="4">
        <f>H3/($P$2*$P$4)</f>
        <v>0.74221876391511821</v>
      </c>
      <c r="C3" s="4">
        <f>I3/($P$2*$P$4)</f>
        <v>1.2716561219285121</v>
      </c>
      <c r="D3" s="4">
        <f>J3/($P$2*$P$4)</f>
        <v>1.5024778969160588</v>
      </c>
      <c r="E3" s="4">
        <f>K3/($P$2*$P$4)</f>
        <v>1.6591442600297783</v>
      </c>
      <c r="F3" s="4">
        <f>L3/($P$2*$P$4)</f>
        <v>2.1025575422970935</v>
      </c>
      <c r="G3" s="8">
        <v>0.24329999999999999</v>
      </c>
      <c r="H3">
        <v>0.78169999999999995</v>
      </c>
      <c r="I3">
        <v>1.3392999999999999</v>
      </c>
      <c r="J3">
        <v>1.5824</v>
      </c>
      <c r="K3">
        <v>1.7474000000000001</v>
      </c>
      <c r="L3">
        <v>2.2143999999999999</v>
      </c>
      <c r="M3">
        <v>0.24329999999999999</v>
      </c>
      <c r="O3" s="7" t="s">
        <v>13</v>
      </c>
      <c r="P3" s="3">
        <f>0.0000507</f>
        <v>5.0699999999999999e-05</v>
      </c>
    </row>
    <row r="4">
      <c r="A4">
        <v>5</v>
      </c>
      <c r="B4" s="4">
        <f>H4/($P$2*$P$4)</f>
        <v>0.64233208876624981</v>
      </c>
      <c r="C4" s="4">
        <f>I4/($P$2*$P$4)</f>
        <v>1.5713161473751174</v>
      </c>
      <c r="D4" s="4">
        <f>J4/($P$2*$P$4)</f>
        <v>1.0867898134543232</v>
      </c>
      <c r="E4" s="4">
        <f>K4/($P$2*$P$4)</f>
        <v>1.5004839613855205</v>
      </c>
      <c r="F4" s="4">
        <f>L4/($P$2*$P$4)</f>
        <v>2.6022757659743694</v>
      </c>
      <c r="G4" s="8">
        <v>0.34570000000000001</v>
      </c>
      <c r="H4">
        <v>0.67649999999999999</v>
      </c>
      <c r="I4">
        <v>1.6549</v>
      </c>
      <c r="J4">
        <v>1.1446000000000001</v>
      </c>
      <c r="K4">
        <v>1.5803</v>
      </c>
      <c r="L4">
        <v>2.7406999999999999</v>
      </c>
      <c r="M4">
        <v>0.34570000000000001</v>
      </c>
      <c r="O4" s="7" t="s">
        <v>14</v>
      </c>
      <c r="P4" s="3">
        <f>0.0012062</f>
        <v>0.0012061999999999999</v>
      </c>
    </row>
    <row r="5">
      <c r="A5">
        <v>10</v>
      </c>
      <c r="B5" s="4">
        <f>H5/($P$2*$P$4)</f>
        <v>0.51443536687886793</v>
      </c>
      <c r="C5" s="4">
        <f>I5/($P$2*$P$4)</f>
        <v>2.0390364532528036</v>
      </c>
      <c r="D5" s="4">
        <f>J5/($P$2*$P$4)</f>
        <v>0.89470735734580531</v>
      </c>
      <c r="E5" s="4">
        <f>K5/($P$2*$P$4)</f>
        <v>1.2913106293009606</v>
      </c>
      <c r="F5" s="4">
        <f>L5/($P$2*$P$4)</f>
        <v>3.080250597437681</v>
      </c>
      <c r="G5" s="8">
        <v>0.50739999999999996</v>
      </c>
      <c r="H5">
        <v>0.54179999999999995</v>
      </c>
      <c r="I5">
        <v>2.1475</v>
      </c>
      <c r="J5">
        <v>0.94230000000000003</v>
      </c>
      <c r="K5">
        <v>1.3600000000000001</v>
      </c>
      <c r="L5">
        <v>3.2441</v>
      </c>
      <c r="M5">
        <v>0.50739999999999996</v>
      </c>
    </row>
    <row r="6">
      <c r="A6">
        <v>20</v>
      </c>
      <c r="B6" s="4">
        <f>H6/($P$2*$P$4)</f>
        <v>0.32045392455078986</v>
      </c>
      <c r="C6" s="4">
        <f>I6/($P$2*$P$4)</f>
        <v>2.5871788255288659</v>
      </c>
      <c r="D6" s="4">
        <f>J6/($P$2*$P$4)</f>
        <v>0.78703483869673985</v>
      </c>
      <c r="E6" s="4">
        <f>K6/($P$2*$P$4)</f>
        <v>0.87733163343682918</v>
      </c>
      <c r="F6" s="4">
        <f>L6/($P$2*$P$4)</f>
        <v>3.5440779815652688</v>
      </c>
      <c r="G6" s="8">
        <v>0.6038</v>
      </c>
      <c r="H6">
        <v>0.33750000000000002</v>
      </c>
      <c r="I6">
        <v>2.7248000000000001</v>
      </c>
      <c r="J6">
        <v>0.82889999999999997</v>
      </c>
      <c r="K6">
        <v>0.92400000000000004</v>
      </c>
      <c r="L6">
        <v>3.7326000000000001</v>
      </c>
      <c r="M6">
        <v>0.6038</v>
      </c>
    </row>
    <row r="7">
      <c r="A7">
        <v>30</v>
      </c>
      <c r="B7" s="4">
        <f>H7/($P$2*$P$4)</f>
        <v>0.21164201416998829</v>
      </c>
      <c r="C7" s="4">
        <f>I7/($P$2*$P$4)</f>
        <v>2.9136145566712703</v>
      </c>
      <c r="D7" s="4">
        <f>J7/($P$2*$P$4)</f>
        <v>0.93411132140168018</v>
      </c>
      <c r="E7" s="4">
        <f>K7/($P$2*$P$4)</f>
        <v>0.77611566793426856</v>
      </c>
      <c r="F7" s="4">
        <f>L7/($P$2*$P$4)</f>
        <v>3.4964134274543066</v>
      </c>
      <c r="G7" s="8">
        <v>0.67220000000000002</v>
      </c>
      <c r="H7">
        <v>0.22289999999999999</v>
      </c>
      <c r="I7">
        <v>3.0686</v>
      </c>
      <c r="J7">
        <v>0.98380000000000001</v>
      </c>
      <c r="K7">
        <v>0.81740000000000002</v>
      </c>
      <c r="L7">
        <v>3.6823999999999999</v>
      </c>
      <c r="M7">
        <v>0.67220000000000002</v>
      </c>
    </row>
    <row r="8">
      <c r="A8">
        <v>40</v>
      </c>
      <c r="B8" s="4">
        <f>H8/($P$2*$P$4)</f>
        <v>0.15286839067459901</v>
      </c>
      <c r="C8" s="4">
        <f>I8/($P$2*$P$4)</f>
        <v>2.9599498204285402</v>
      </c>
      <c r="D8" s="4">
        <f>J8/($P$2*$P$4)</f>
        <v>1.1221109571381436</v>
      </c>
      <c r="E8" s="4">
        <f>K8/($P$2*$P$4)</f>
        <v>0.72541273587201016</v>
      </c>
      <c r="F8" s="4">
        <f>L8/($P$2*$P$4)</f>
        <v>3.3853227336100327</v>
      </c>
      <c r="G8" s="8">
        <v>0.67859999999999998</v>
      </c>
      <c r="H8">
        <v>0.161</v>
      </c>
      <c r="I8">
        <v>3.1173999999999999</v>
      </c>
      <c r="J8">
        <v>1.1818</v>
      </c>
      <c r="K8">
        <v>0.76400000000000001</v>
      </c>
      <c r="L8">
        <v>3.5653999999999999</v>
      </c>
      <c r="M8">
        <v>0.67859999999999998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220" workbookViewId="0">
      <selection activeCell="I9" activeCellId="0" sqref="I9"/>
    </sheetView>
  </sheetViews>
  <sheetFormatPr baseColWidth="10" defaultColWidth="9.140625" defaultRowHeight="14.25"/>
  <cols>
    <col bestFit="1" customWidth="1" min="1" max="1" width="4.04296875"/>
    <col bestFit="1" customWidth="1" min="2" max="2" width="12.90234375"/>
    <col bestFit="1" customWidth="1" min="3" max="3" width="13.47265625"/>
    <col bestFit="1" customWidth="1" min="4" max="4" width="12.23046875"/>
    <col bestFit="1" customWidth="1" min="5" max="5" width="12.421875"/>
    <col bestFit="1" customWidth="1" min="6" max="6" width="13.6640625"/>
    <col bestFit="1" customWidth="1" min="7" max="7" width="6.5234375"/>
    <col bestFit="1" customWidth="1" min="8" max="8" width="10.61328125"/>
    <col bestFit="1" min="9" max="9" width="10.7109375"/>
    <col bestFit="1" min="10" max="10" width="9.47265625"/>
    <col bestFit="1" min="11" max="11" width="9.19140625"/>
    <col bestFit="1" min="12" max="12" width="10.90234375"/>
    <col bestFit="1" min="13" max="13" width="6.5234375"/>
    <col bestFit="1" min="15" max="15" width="15.8515625"/>
    <col bestFit="1" min="16" max="16" width="9.66406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6</v>
      </c>
    </row>
    <row r="2">
      <c r="A2">
        <v>0</v>
      </c>
      <c r="B2" s="4">
        <f>H2/($P$2*$P$4)</f>
        <v>0.81185193907737319</v>
      </c>
      <c r="C2" s="4">
        <f>I2/($P$2*$P$4)</f>
        <v>0.88477492298565052</v>
      </c>
      <c r="D2" s="4">
        <f>J2/($P$2*$P$4)</f>
        <v>3.2421091651141869</v>
      </c>
      <c r="E2" s="4">
        <f>K2/($P$2*$P$4)</f>
        <v>2.4351067840799749</v>
      </c>
      <c r="F2" s="5">
        <f>L2/($P$2*$P$4)</f>
        <v>0</v>
      </c>
      <c r="G2" s="8">
        <v>0</v>
      </c>
      <c r="H2">
        <v>0.90400000000000003</v>
      </c>
      <c r="I2">
        <v>0.98519999999999996</v>
      </c>
      <c r="J2">
        <v>3.6101000000000001</v>
      </c>
      <c r="K2">
        <v>2.7115</v>
      </c>
      <c r="L2">
        <v>0</v>
      </c>
      <c r="M2">
        <v>0</v>
      </c>
      <c r="O2" s="7" t="s">
        <v>12</v>
      </c>
      <c r="P2" s="3">
        <f>650+273.15</f>
        <v>923.14999999999998</v>
      </c>
    </row>
    <row r="3">
      <c r="A3">
        <v>2</v>
      </c>
      <c r="B3" s="4">
        <f>H3/($P$2*$P$4)</f>
        <v>0.70201843006281262</v>
      </c>
      <c r="C3" s="4">
        <f>I3/($P$2*$P$4)</f>
        <v>1.2027802013344313</v>
      </c>
      <c r="D3" s="4">
        <f>J3/($P$2*$P$4)</f>
        <v>1.584817607179027</v>
      </c>
      <c r="E3" s="4">
        <f>K3/($P$2*$P$4)</f>
        <v>1.6374442926103701</v>
      </c>
      <c r="F3" s="4">
        <f>L3/($P$2*$P$4)</f>
        <v>2.1615557877935059</v>
      </c>
      <c r="G3" s="8">
        <v>0.25919999999999999</v>
      </c>
      <c r="H3">
        <v>0.78169999999999995</v>
      </c>
      <c r="I3">
        <v>1.3392999999999999</v>
      </c>
      <c r="J3">
        <v>1.7646999999999999</v>
      </c>
      <c r="K3">
        <v>1.8232999999999999</v>
      </c>
      <c r="L3">
        <v>2.4068999999999998</v>
      </c>
      <c r="M3">
        <v>0.25919999999999999</v>
      </c>
      <c r="O3" s="7" t="s">
        <v>13</v>
      </c>
      <c r="P3" s="3">
        <f>0.0000507</f>
        <v>5.0699999999999999e-05</v>
      </c>
    </row>
    <row r="4">
      <c r="A4">
        <v>5</v>
      </c>
      <c r="B4" s="4">
        <f>H4/($P$2*$P$4)</f>
        <v>0.60754185485159617</v>
      </c>
      <c r="C4" s="4">
        <f>I4/($P$2*$P$4)</f>
        <v>1.4862099269680806</v>
      </c>
      <c r="D4" s="4">
        <f>J4/($P$2*$P$4)</f>
        <v>1.2984242627412237</v>
      </c>
      <c r="E4" s="4">
        <f>K4/($P$2*$P$4)</f>
        <v>1.4192141806681116</v>
      </c>
      <c r="F4" s="4">
        <f>L4/($P$2*$P$4)</f>
        <v>2.6941091062369598</v>
      </c>
      <c r="G4" s="8">
        <v>0.37269999999999998</v>
      </c>
      <c r="H4">
        <v>0.67649999999999999</v>
      </c>
      <c r="I4">
        <v>1.6549</v>
      </c>
      <c r="J4">
        <v>1.4458</v>
      </c>
      <c r="K4">
        <v>1.5803</v>
      </c>
      <c r="L4">
        <v>2.9998999999999998</v>
      </c>
      <c r="M4">
        <v>0.37269999999999998</v>
      </c>
      <c r="O4" s="7" t="s">
        <v>14</v>
      </c>
      <c r="P4" s="3">
        <f>0.0012062</f>
        <v>0.0012061999999999999</v>
      </c>
    </row>
    <row r="5">
      <c r="A5">
        <v>10</v>
      </c>
      <c r="B5" s="4">
        <f>H5/($P$2*$P$4)</f>
        <v>0.48657232366385039</v>
      </c>
      <c r="C5" s="4">
        <f>I5/($P$2*$P$4)</f>
        <v>1.9516776924811365</v>
      </c>
      <c r="D5" s="4">
        <f>J5/($P$2*$P$4)</f>
        <v>0.99397978558720868</v>
      </c>
      <c r="E5" s="4">
        <f>K5/($P$2*$P$4)</f>
        <v>1.2445402844838758</v>
      </c>
      <c r="F5" s="4">
        <f>L5/($P$2*$P$4)</f>
        <v>3.0562992467567658</v>
      </c>
      <c r="G5" s="8">
        <v>0.51319999999999999</v>
      </c>
      <c r="H5">
        <v>0.54179999999999995</v>
      </c>
      <c r="I5">
        <v>2.1732</v>
      </c>
      <c r="J5">
        <v>1.1068</v>
      </c>
      <c r="K5">
        <v>1.3857999999999999</v>
      </c>
      <c r="L5">
        <v>3.4032</v>
      </c>
      <c r="M5">
        <v>0.51319999999999999</v>
      </c>
    </row>
    <row r="6">
      <c r="A6">
        <v>20</v>
      </c>
      <c r="B6" s="4">
        <f>H6/($P$2*$P$4)</f>
        <v>0.30309737769758127</v>
      </c>
      <c r="C6" s="4">
        <f>I6/($P$2*$P$4)</f>
        <v>2.4517210107093237</v>
      </c>
      <c r="D6" s="4">
        <f>J6/($P$2*$P$4)</f>
        <v>0.9444065255904488</v>
      </c>
      <c r="E6" s="4">
        <f>K6/($P$2*$P$4)</f>
        <v>0.86115577918284636</v>
      </c>
      <c r="F6" s="4">
        <f>L6/($P$2*$P$4)</f>
        <v>3.4904244982501313</v>
      </c>
      <c r="G6" s="8">
        <v>0.6452</v>
      </c>
      <c r="H6">
        <v>0.33750000000000002</v>
      </c>
      <c r="I6">
        <v>2.73</v>
      </c>
      <c r="J6">
        <v>1.0516000000000001</v>
      </c>
      <c r="K6">
        <v>0.95889999999999997</v>
      </c>
      <c r="L6">
        <v>3.8866000000000001</v>
      </c>
      <c r="M6">
        <v>0.6452</v>
      </c>
    </row>
    <row r="7">
      <c r="A7">
        <v>30</v>
      </c>
      <c r="B7" s="4">
        <f>H7/($P$2*$P$4)</f>
        <v>0.21544610639896219</v>
      </c>
      <c r="C7" s="4">
        <f>I7/($P$2*$P$4)</f>
        <v>2.7581412337327751</v>
      </c>
      <c r="D7" s="4">
        <f>J7/($P$2*$P$4)</f>
        <v>1.0904321066678611</v>
      </c>
      <c r="E7" s="4">
        <f>K7/($P$2*$P$4)</f>
        <v>0.73407939712593462</v>
      </c>
      <c r="F7" s="4">
        <f>L7/($P$2*$P$4)</f>
        <v>3.3784356301052765</v>
      </c>
      <c r="G7" s="8">
        <v>0.69769999999999999</v>
      </c>
      <c r="H7">
        <v>0.2399</v>
      </c>
      <c r="I7">
        <v>3.0712000000000002</v>
      </c>
      <c r="J7">
        <v>1.2141999999999999</v>
      </c>
      <c r="K7">
        <v>0.81740000000000002</v>
      </c>
      <c r="L7">
        <v>3.7618999999999998</v>
      </c>
      <c r="M7">
        <v>0.69769999999999999</v>
      </c>
    </row>
    <row r="8">
      <c r="A8">
        <v>40</v>
      </c>
      <c r="B8" s="4">
        <f>H8/($P$2*$P$4)</f>
        <v>0.14871977999027985</v>
      </c>
      <c r="C8" s="4">
        <f>I8/($P$2*$P$4)</f>
        <v>2.8618678918781693</v>
      </c>
      <c r="D8" s="4">
        <f>J8/($P$2*$P$4)</f>
        <v>1.2249624390503728</v>
      </c>
      <c r="E8" s="4">
        <f>K8/($P$2*$P$4)</f>
        <v>0.71746517049658576</v>
      </c>
      <c r="F8" s="4">
        <f>L8/($P$2*$P$4)</f>
        <v>3.3816686688007174</v>
      </c>
      <c r="G8" s="8">
        <v>0.71889999999999998</v>
      </c>
      <c r="H8">
        <v>0.1656</v>
      </c>
      <c r="I8">
        <v>3.1867000000000001</v>
      </c>
      <c r="J8">
        <v>1.3640000000000001</v>
      </c>
      <c r="K8">
        <v>0.79890000000000005</v>
      </c>
      <c r="L8">
        <v>3.7654999999999998</v>
      </c>
      <c r="M8">
        <v>0.71889999999999998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Raúl Barajas Villarruel</dc:creator>
  <cp:revision>1</cp:revision>
  <dcterms:created xsi:type="dcterms:W3CDTF">2015-06-05T18:19:34Z</dcterms:created>
  <dcterms:modified xsi:type="dcterms:W3CDTF">2025-06-02T22:43:29Z</dcterms:modified>
</cp:coreProperties>
</file>